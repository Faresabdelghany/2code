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&amp; Time Investment" sheetId="1" state="visible" r:id="rId3"/>
    <sheet name="Revenue Projections" sheetId="2" state="visible" r:id="rId4"/>
    <sheet name="Channel Strategy" sheetId="3" state="visible" r:id="rId5"/>
    <sheet name="6-Month 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<sst xmlns="http://schemas.openxmlformats.org/spreadsheetml/2006/main" count="196" uniqueCount="158">
  <si>
    <t xml:space="preserve">2CODE — MONTHLY MARKETING PLAN ($100/mo + Your Time)</t>
  </si>
  <si>
    <t xml:space="preserve">Total Cash: $100/month · Total Time: ~10-12 hrs/week · 6-Month Cash Spend: $600</t>
  </si>
  <si>
    <t xml:space="preserve">Channel</t>
  </si>
  <si>
    <t xml:space="preserve">Monthly Cost</t>
  </si>
  <si>
    <t xml:space="preserve">Hours/Week</t>
  </si>
  <si>
    <t xml:space="preserve">Weekly Tasks</t>
  </si>
  <si>
    <t xml:space="preserve">Monthly Output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</si>
  <si>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</si>
  <si>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</si>
  <si>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</si>
  <si>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</si>
  <si>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</si>
  <si>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</si>
  <si>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6-Month Total</t>
  </si>
  <si>
    <t xml:space="preserve">Google Ads (Paid)</t>
  </si>
  <si>
    <t xml:space="preserve">1-2 hrs</t>
  </si>
  <si>
    <t xml:space="preserve">Monitor CPC, adjust bids, test ad copy, add negative keywords</t>
  </si>
  <si>
    <t xml:space="preserve">35-100 clicks, 1-3 leads</t>
  </si>
  <si>
    <t xml:space="preserve">Upwork + Mostaql</t>
  </si>
  <si>
    <t xml:space="preserve">4-5 hrs</t>
  </si>
  <si>
    <t xml:space="preserve">Browse jobs daily, write 10-15 proposals/week, follow up on responses</t>
  </si>
  <si>
    <t xml:space="preserve">40-60 proposals, 1-2 clients</t>
  </si>
  <si>
    <t xml:space="preserve">LinkedIn Organic</t>
  </si>
  <si>
    <t xml:space="preserve">2-3 hrs</t>
  </si>
  <si>
    <t xml:space="preserve">Write 2-3 posts/week (project showcases, tips), engage with prospects, connect with decision-makers</t>
  </si>
  <si>
    <t xml:space="preserve">10-12 posts, 20+ new connections</t>
  </si>
  <si>
    <t xml:space="preserve">Google Business Profile</t>
  </si>
  <si>
    <t xml:space="preserve">0.5 hrs</t>
  </si>
  <si>
    <t xml:space="preserve">Respond to reviews, post updates, add photos of work</t>
  </si>
  <si>
    <t xml:space="preserve">2-4 posts, updated portfolio</t>
  </si>
  <si>
    <t xml:space="preserve">Directories (Clutch/GoodFirms)</t>
  </si>
  <si>
    <t xml:space="preserve">Update portfolio, request client reviews, respond to inquiries</t>
  </si>
  <si>
    <t xml:space="preserve">1-2 new reviews requested</t>
  </si>
  <si>
    <t xml:space="preserve">SEO (Organic from website)</t>
  </si>
  <si>
    <t xml:space="preserve">Monitor Search Console, check rankings, tweak meta tags if needed</t>
  </si>
  <si>
    <t xml:space="preserve">Track keyword positions, fix issues</t>
  </si>
  <si>
    <t xml:space="preserve">TOTAL</t>
  </si>
  <si>
    <t xml:space="preserve">10-12 hrs</t>
  </si>
  <si>
    <t xml:space="preserve">Note: $0 channels are FREE but require consistent time investment. The hours/week column shows your real commitment.</t>
  </si>
  <si>
    <t xml:space="preserve">2CODE — 6-MONTH REVENUE PROJECTIONS</t>
  </si>
  <si>
    <t xml:space="preserve">KEY ASSUMPTIONS</t>
  </si>
  <si>
    <t xml:space="preserve">Average deal size (landing page)</t>
  </si>
  <si>
    <t xml:space="preserve">Based on your $1,500-$5,000 range</t>
  </si>
  <si>
    <t xml:space="preserve">Average deal size (e-commerce)</t>
  </si>
  <si>
    <t xml:space="preserve">Based on your $5,000-$15,000 range</t>
  </si>
  <si>
    <t xml:space="preserve">Average deal size (blended)</t>
  </si>
  <si>
    <t xml:space="preserve">Weighted toward smaller early projects</t>
  </si>
  <si>
    <t xml:space="preserve">Google Ads CPC (Egypt)</t>
  </si>
  <si>
    <t xml:space="preserve">Average for web dev keywords</t>
  </si>
  <si>
    <t xml:space="preserve">Google Ads monthly clicks</t>
  </si>
  <si>
    <t xml:space="preserve">At $100 budget / $2 avg CPC</t>
  </si>
  <si>
    <t xml:space="preserve">Google Ads conversion rate</t>
  </si>
  <si>
    <t xml:space="preserve">3% of clicks become leads</t>
  </si>
  <si>
    <t xml:space="preserve">Upwork win rate</t>
  </si>
  <si>
    <t xml:space="preserve">5% of proposals win (conservative)</t>
  </si>
  <si>
    <t xml:space="preserve">Total marketing spend (6 months)</t>
  </si>
  <si>
    <t xml:space="preserve">Cash only, not counting time</t>
  </si>
  <si>
    <t xml:space="preserve">MONTHLY REVENUE BY SOURCE</t>
  </si>
  <si>
    <t xml:space="preserve">Month</t>
  </si>
  <si>
    <t xml:space="preserve">Google Ads</t>
  </si>
  <si>
    <t xml:space="preserve">Upwork/Mostaql</t>
  </si>
  <si>
    <t xml:space="preserve">LinkedIn/Referral</t>
  </si>
  <si>
    <t xml:space="preserve">Other (Directories, Organic)</t>
  </si>
  <si>
    <t xml:space="preserve">TOTAL Revenue</t>
  </si>
  <si>
    <t xml:space="preserve">Cumulative</t>
  </si>
  <si>
    <t xml:space="preserve">6-MONTH TOTAL</t>
  </si>
  <si>
    <t xml:space="preserve">Total Marketing Spend (Cash)</t>
  </si>
  <si>
    <t xml:space="preserve">Total Revenue</t>
  </si>
  <si>
    <t xml:space="preserve">ROI</t>
  </si>
  <si>
    <t xml:space="preserve">Estimated Clients (6 months)</t>
  </si>
  <si>
    <t xml:space="preserve">5-10</t>
  </si>
  <si>
    <t xml:space="preserve">2CODE — CHANNEL STRATEGY &amp; EXPECTED METRICS</t>
  </si>
  <si>
    <t xml:space="preserve">Time/Week</t>
  </si>
  <si>
    <t xml:space="preserve">What You Do</t>
  </si>
  <si>
    <t xml:space="preserve">Expected Leads/Mo</t>
  </si>
  <si>
    <t xml:space="preserve">Close Rate</t>
  </si>
  <si>
    <t xml:space="preserve">Clients/Mo</t>
  </si>
  <si>
    <t xml:space="preserve">Avg Deal</t>
  </si>
  <si>
    <t xml:space="preserve">Revenue/Mo</t>
  </si>
  <si>
    <t xml:space="preserve">Run search ads for "web development Egypt", "landing page Cairo", "تصميم مواقع مصر". Monitor &amp; optimize weekly.</t>
  </si>
  <si>
    <t xml:space="preserve">1-3</t>
  </si>
  <si>
    <t xml:space="preserve">25%</t>
  </si>
  <si>
    <t xml:space="preserve">0.5-1</t>
  </si>
  <si>
    <t xml:space="preserve">$1,500-$3,000</t>
  </si>
  <si>
    <t xml:space="preserve">Apply to 10-15 relevant jobs/week. Write custom proposals. Build 5-star reviews. Raise rates over time.</t>
  </si>
  <si>
    <t xml:space="preserve">8-16 responses/mo</t>
  </si>
  <si>
    <t xml:space="preserve">10-15%</t>
  </si>
  <si>
    <t xml:space="preserve">1-2</t>
  </si>
  <si>
    <t xml:space="preserve">$2,000-$4,000</t>
  </si>
  <si>
    <t xml:space="preserve">Post project showcases, web dev tips, case studies 2-3x/week. Connect with startup founders &amp; marketing managers in KSA/UAE.</t>
  </si>
  <si>
    <t xml:space="preserve">20%</t>
  </si>
  <si>
    <t xml:space="preserve">0-0.5</t>
  </si>
  <si>
    <t xml:space="preserve">$0-$2,500</t>
  </si>
  <si>
    <t xml:space="preserve">30 min</t>
  </si>
  <si>
    <t xml:space="preserve">Keep profile updated with projects, respond to reviews, post monthly updates. Appears in "web agency near me" searches.</t>
  </si>
  <si>
    <t xml:space="preserve">0-1</t>
  </si>
  <si>
    <t xml:space="preserve">30%</t>
  </si>
  <si>
    <t xml:space="preserve">0-0.3</t>
  </si>
  <si>
    <t xml:space="preserve">$0-$1,000</t>
  </si>
  <si>
    <t xml:space="preserve">Directories</t>
  </si>
  <si>
    <t xml:space="preserve">Maintain Clutch, GoodFirms profiles. Request reviews from every completed project. Update portfolio quarterly.</t>
  </si>
  <si>
    <t xml:space="preserve">0-0.2</t>
  </si>
  <si>
    <t xml:space="preserve">$0-$800</t>
  </si>
  <si>
    <t xml:space="preserve">SEO / Organic</t>
  </si>
  <si>
    <t xml:space="preserve">The SEO work we already did on your site. Monitor Search Console, track rankings, iterate on content. Compounds over time.</t>
  </si>
  <si>
    <t xml:space="preserve">0-1 (grows)</t>
  </si>
  <si>
    <t xml:space="preserve">15%</t>
  </si>
  <si>
    <t xml:space="preserve">$0-$700 (growing)</t>
  </si>
  <si>
    <t xml:space="preserve">KEY INSIGHT: Upwork is your #1 client source in months 1-3. Google Ads takes 2-3 months to optimize. LinkedIn and SEO are long-term plays that compound.</t>
  </si>
  <si>
    <t xml:space="preserve">2CODE — 6-MONTH ACTION TIMELINE</t>
  </si>
  <si>
    <t xml:space="preserve">When</t>
  </si>
  <si>
    <t xml:space="preserve">Action Items</t>
  </si>
  <si>
    <t xml:space="preserve">Expected Result</t>
  </si>
  <si>
    <t xml:space="preserve">Cost</t>
  </si>
  <si>
    <t xml:space="preserve">Time Needed</t>
  </si>
  <si>
    <t xml:space="preserve">Week 1</t>
  </si>
  <si>
    <t xml:space="preserve">Setup</t>
  </si>
  <si>
    <t xml:space="preserve">Create Google Business Profile (add address, photos, services)
Create Upwork profile (portfolio, rates, bio)
Create Mostaql profile
Set up Google Ads account + billing</t>
  </si>
  <si>
    <t xml:space="preserve">All accounts live and ready</t>
  </si>
  <si>
    <t xml:space="preserve">$0</t>
  </si>
  <si>
    <t xml:space="preserve">6-8 hours</t>
  </si>
  <si>
    <t xml:space="preserve">Week 2</t>
  </si>
  <si>
    <t xml:space="preserve">Launch</t>
  </si>
  <si>
    <t xml:space="preserve">Launch Google Ads: 3-5 keywords in English + Arabic
Submit first 10 Upwork proposals
Publish first 2 LinkedIn posts (project showcase)</t>
  </si>
  <si>
    <t xml:space="preserve">First clicks, first proposals sent</t>
  </si>
  <si>
    <t xml:space="preserve">$25</t>
  </si>
  <si>
    <t xml:space="preserve">10-12 hours</t>
  </si>
  <si>
    <t xml:space="preserve">Week 3</t>
  </si>
  <si>
    <t xml:space="preserve">Execute</t>
  </si>
  <si>
    <t xml:space="preserve">Send 10-15 more Upwork proposals
Check Google Ads: pause bad keywords, lower bids on expensive ones
Post 2-3 LinkedIn updates
Respond to any leads</t>
  </si>
  <si>
    <t xml:space="preserve">First Upwork responses, ad data</t>
  </si>
  <si>
    <t xml:space="preserve">Week 4</t>
  </si>
  <si>
    <t xml:space="preserve">Optimize</t>
  </si>
  <si>
    <t xml:space="preserve">Review Google Ads CTR &amp; CPC data
Add Arabic keyword campaign
Add negative keywords
Follow up on all Upwork conversations
Request Google Business review from past client</t>
  </si>
  <si>
    <t xml:space="preserve">First month data, pipeline forming</t>
  </si>
  <si>
    <t xml:space="preserve">$50</t>
  </si>
  <si>
    <t xml:space="preserve">8-10 hours</t>
  </si>
  <si>
    <t xml:space="preserve">Build</t>
  </si>
  <si>
    <t xml:space="preserve">Continue 10-15 Upwork proposals/week
Optimize Google Ads (should have enough data)
Create Clutch profile
Post 2-3x/week on LinkedIn
Land first 1-2 Upwork projects</t>
  </si>
  <si>
    <t xml:space="preserve">First revenue, first reviews coming</t>
  </si>
  <si>
    <t xml:space="preserve">$100</t>
  </si>
  <si>
    <t xml:space="preserve">10-12 hrs/week</t>
  </si>
  <si>
    <t xml:space="preserve">Convert</t>
  </si>
  <si>
    <t xml:space="preserve">Google Ads leads should start converting
Complete first projects, request reviews
Portfolio growing — update all profiles
Start engaging KSA/UAE prospects on LinkedIn</t>
  </si>
  <si>
    <t xml:space="preserve">2-3 active projects, 1-2 reviews</t>
  </si>
  <si>
    <t xml:space="preserve">Scale</t>
  </si>
  <si>
    <t xml:space="preserve">Double down on winning Google Ads keywords
Raise Upwork rates slightly (you have reviews now)
Ask happy clients for referrals
LinkedIn network growing</t>
  </si>
  <si>
    <t xml:space="preserve">3-4 total clients, referral pipeline</t>
  </si>
  <si>
    <t xml:space="preserve">8-10 hrs/week</t>
  </si>
  <si>
    <t xml:space="preserve">Compound</t>
  </si>
  <si>
    <t xml:space="preserve">Referrals should start coming in
Upwork profile has momentum (reviews, ratings)
SEO traffic growing from website changes
Consider increasing Google Ads to $150-200 if ROI is good</t>
  </si>
  <si>
    <t xml:space="preserve">4-6 total clients, inbound growing</t>
  </si>
  <si>
    <t xml:space="preserve">Review &amp; Plan</t>
  </si>
  <si>
    <t xml:space="preserve">Full performance review across all channels
Calculate actual ROI per channel
Decide: increase budget? Drop weak channels?
Plan Phase 2 strategy based on real data</t>
  </si>
  <si>
    <t xml:space="preserve">5-10 total clients, clear next steps</t>
  </si>
  <si>
    <t xml:space="preserve">6-8 hrs/week</t>
  </si>
  <si>
    <t xml:space="preserve">$600</t>
  </si>
  <si>
    <t xml:space="preserve">~10-12 hrs/week avg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</si>
</sst>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\$#,##0"/>
    <numFmt numFmtId="167" formatCode="0.0%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i val="true"/>
      <sz val="10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5"/>
    <col collapsed="false" customWidth="true" hidden="false" outlineLevel="0" max="11" min="6" style="0" width="11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5" t="n">
        <v>100</v>
      </c>
      <c r="C5" s="6" t="s">
        <v>15</v>
      </c>
      <c r="D5" s="7" t="s">
        <v>16</v>
      </c>
      <c r="E5" s="7" t="s">
        <v>17</v>
      </c>
      <c r="F5" s="5" t="n">
        <v>100</v>
      </c>
      <c r="G5" s="5" t="n">
        <v>100</v>
      </c>
      <c r="H5" s="5" t="n">
        <v>100</v>
      </c>
      <c r="I5" s="5" t="n">
        <v>100</v>
      </c>
      <c r="J5" s="5" t="n">
        <v>100</v>
      </c>
      <c r="K5" s="5" t="n">
        <v>100</v>
      </c>
      <c r="L5" s="8" t="n">
        <f aca="false">SUM(F5:K5)</f>
        <v>600</v>
      </c>
    </row>
    <row r="6" customFormat="false" ht="23.85" hidden="false" customHeight="false" outlineLevel="0" collapsed="false">
      <c r="A6" s="4" t="s">
        <v>18</v>
      </c>
      <c r="B6" s="5" t="n">
        <v>0</v>
      </c>
      <c r="C6" s="6" t="s">
        <v>19</v>
      </c>
      <c r="D6" s="7" t="s">
        <v>20</v>
      </c>
      <c r="E6" s="7" t="s">
        <v>21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8" t="n">
        <f aca="false">SUM(F6:K6)</f>
        <v>0</v>
      </c>
    </row>
    <row r="7" customFormat="false" ht="23.85" hidden="false" customHeight="false" outlineLevel="0" collapsed="false">
      <c r="A7" s="4" t="s">
        <v>22</v>
      </c>
      <c r="B7" s="5" t="n">
        <v>0</v>
      </c>
      <c r="C7" s="6" t="s">
        <v>23</v>
      </c>
      <c r="D7" s="7" t="s">
        <v>24</v>
      </c>
      <c r="E7" s="7" t="s">
        <v>25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8" t="n">
        <f aca="false">SUM(F7:K7)</f>
        <v>0</v>
      </c>
    </row>
    <row r="8" customFormat="false" ht="15" hidden="false" customHeight="false" outlineLevel="0" collapsed="false">
      <c r="A8" s="4" t="s">
        <v>26</v>
      </c>
      <c r="B8" s="5" t="n">
        <v>0</v>
      </c>
      <c r="C8" s="6" t="s">
        <v>27</v>
      </c>
      <c r="D8" s="7" t="s">
        <v>28</v>
      </c>
      <c r="E8" s="7" t="s">
        <v>29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8" t="n">
        <f aca="false">SUM(F8:K8)</f>
        <v>0</v>
      </c>
    </row>
    <row r="9" customFormat="false" ht="15" hidden="false" customHeight="false" outlineLevel="0" collapsed="false">
      <c r="A9" s="4" t="s">
        <v>30</v>
      </c>
      <c r="B9" s="5" t="n">
        <v>0</v>
      </c>
      <c r="C9" s="6" t="s">
        <v>27</v>
      </c>
      <c r="D9" s="7" t="s">
        <v>31</v>
      </c>
      <c r="E9" s="7" t="s">
        <v>32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8" t="n">
        <f aca="false">SUM(F9:K9)</f>
        <v>0</v>
      </c>
    </row>
    <row r="10" customFormat="false" ht="23.85" hidden="false" customHeight="false" outlineLevel="0" collapsed="false">
      <c r="A10" s="4" t="s">
        <v>33</v>
      </c>
      <c r="B10" s="5" t="n">
        <v>0</v>
      </c>
      <c r="C10" s="6" t="s">
        <v>15</v>
      </c>
      <c r="D10" s="7" t="s">
        <v>34</v>
      </c>
      <c r="E10" s="7" t="s">
        <v>35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8" t="n">
        <f aca="false">SUM(F10:K10)</f>
        <v>0</v>
      </c>
    </row>
    <row r="11" customFormat="false" ht="15" hidden="false" customHeight="false" outlineLevel="0" collapsed="false">
      <c r="A11" s="9" t="s">
        <v>36</v>
      </c>
      <c r="B11" s="10" t="n">
        <f aca="false">SUM(B5:B10)</f>
        <v>100</v>
      </c>
      <c r="C11" s="11" t="s">
        <v>37</v>
      </c>
      <c r="D11" s="12"/>
      <c r="E11" s="12"/>
      <c r="F11" s="10" t="n">
        <f aca="false">SUM(F5:F10)</f>
        <v>100</v>
      </c>
      <c r="G11" s="10" t="n">
        <f aca="false">SUM(G5:G10)</f>
        <v>100</v>
      </c>
      <c r="H11" s="10" t="n">
        <f aca="false">SUM(H5:H10)</f>
        <v>100</v>
      </c>
      <c r="I11" s="10" t="n">
        <f aca="false">SUM(I5:I10)</f>
        <v>100</v>
      </c>
      <c r="J11" s="10" t="n">
        <f aca="false">SUM(J5:J10)</f>
        <v>100</v>
      </c>
      <c r="K11" s="10" t="n">
        <f aca="false">SUM(K5:K10)</f>
        <v>100</v>
      </c>
      <c r="L11" s="10" t="n">
        <f aca="false">SUM(F11:K11)</f>
        <v>600</v>
      </c>
    </row>
    <row r="13" customFormat="false" ht="15" hidden="false" customHeight="false" outlineLevel="0" collapsed="false">
      <c r="A13" s="2" t="s">
        <v>38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mergeCells count="3">
    <mergeCell ref="A1:J1"/>
    <mergeCell ref="A2:J2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8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13" t="s">
        <v>39</v>
      </c>
      <c r="B1" s="13"/>
      <c r="C1" s="13"/>
      <c r="D1" s="13"/>
      <c r="E1" s="13"/>
      <c r="F1" s="13"/>
      <c r="G1" s="13"/>
    </row>
    <row r="3" customFormat="false" ht="15" hidden="false" customHeight="false" outlineLevel="0" collapsed="false">
      <c r="A3" s="14" t="s">
        <v>40</v>
      </c>
      <c r="B3" s="14"/>
      <c r="C3" s="14"/>
      <c r="D3" s="14"/>
      <c r="E3" s="14"/>
      <c r="F3" s="14"/>
      <c r="G3" s="14"/>
    </row>
    <row r="4" customFormat="false" ht="22.35" hidden="false" customHeight="false" outlineLevel="0" collapsed="false">
      <c r="A4" s="7" t="s">
        <v>41</v>
      </c>
      <c r="B4" s="15" t="n">
        <v>2500</v>
      </c>
      <c r="C4" s="16" t="s">
        <v>42</v>
      </c>
    </row>
    <row r="5" customFormat="false" ht="22.35" hidden="false" customHeight="false" outlineLevel="0" collapsed="false">
      <c r="A5" s="7" t="s">
        <v>43</v>
      </c>
      <c r="B5" s="15" t="n">
        <v>10000</v>
      </c>
      <c r="C5" s="16" t="s">
        <v>44</v>
      </c>
    </row>
    <row r="6" customFormat="false" ht="22.35" hidden="false" customHeight="false" outlineLevel="0" collapsed="false">
      <c r="A6" s="7" t="s">
        <v>45</v>
      </c>
      <c r="B6" s="15" t="n">
        <v>3500</v>
      </c>
      <c r="C6" s="16" t="s">
        <v>46</v>
      </c>
    </row>
    <row r="7" customFormat="false" ht="22.35" hidden="false" customHeight="false" outlineLevel="0" collapsed="false">
      <c r="A7" s="7" t="s">
        <v>47</v>
      </c>
      <c r="B7" s="15" t="n">
        <v>2</v>
      </c>
      <c r="C7" s="16" t="s">
        <v>48</v>
      </c>
    </row>
    <row r="8" customFormat="false" ht="22.35" hidden="false" customHeight="false" outlineLevel="0" collapsed="false">
      <c r="A8" s="7" t="s">
        <v>49</v>
      </c>
      <c r="B8" s="15" t="n">
        <v>50</v>
      </c>
      <c r="C8" s="16" t="s">
        <v>50</v>
      </c>
    </row>
    <row r="9" customFormat="false" ht="22.35" hidden="false" customHeight="false" outlineLevel="0" collapsed="false">
      <c r="A9" s="7" t="s">
        <v>51</v>
      </c>
      <c r="B9" s="17" t="n">
        <v>0.03</v>
      </c>
      <c r="C9" s="16" t="s">
        <v>52</v>
      </c>
    </row>
    <row r="10" customFormat="false" ht="22.35" hidden="false" customHeight="false" outlineLevel="0" collapsed="false">
      <c r="A10" s="7" t="s">
        <v>53</v>
      </c>
      <c r="B10" s="17" t="n">
        <v>0.05</v>
      </c>
      <c r="C10" s="16" t="s">
        <v>54</v>
      </c>
    </row>
    <row r="11" customFormat="false" ht="22.35" hidden="false" customHeight="false" outlineLevel="0" collapsed="false">
      <c r="A11" s="7" t="s">
        <v>55</v>
      </c>
      <c r="B11" s="15" t="n">
        <v>600</v>
      </c>
      <c r="C11" s="16" t="s">
        <v>56</v>
      </c>
    </row>
    <row r="14" customFormat="false" ht="15" hidden="false" customHeight="false" outlineLevel="0" collapsed="false">
      <c r="A14" s="14" t="s">
        <v>57</v>
      </c>
      <c r="B14" s="14"/>
      <c r="C14" s="14"/>
      <c r="D14" s="14"/>
      <c r="E14" s="14"/>
      <c r="F14" s="14"/>
      <c r="G14" s="14"/>
    </row>
    <row r="15" customFormat="false" ht="26.85" hidden="false" customHeight="false" outlineLevel="0" collapsed="false">
      <c r="A15" s="3" t="s">
        <v>58</v>
      </c>
      <c r="B15" s="3" t="s">
        <v>59</v>
      </c>
      <c r="C15" s="3" t="s">
        <v>60</v>
      </c>
      <c r="D15" s="3" t="s">
        <v>61</v>
      </c>
      <c r="E15" s="3" t="s">
        <v>62</v>
      </c>
      <c r="F15" s="3" t="s">
        <v>63</v>
      </c>
      <c r="G15" s="3" t="s">
        <v>64</v>
      </c>
    </row>
    <row r="16" customFormat="false" ht="15" hidden="false" customHeight="false" outlineLevel="0" collapsed="false">
      <c r="A16" s="4" t="s">
        <v>7</v>
      </c>
      <c r="B16" s="5" t="n">
        <v>0</v>
      </c>
      <c r="C16" s="5" t="n">
        <v>1500</v>
      </c>
      <c r="D16" s="5" t="n">
        <v>0</v>
      </c>
      <c r="E16" s="5" t="n">
        <v>0</v>
      </c>
      <c r="F16" s="18" t="n">
        <f aca="false">SUM(B16:E16)</f>
        <v>1500</v>
      </c>
      <c r="G16" s="19" t="n">
        <f aca="false">F16</f>
        <v>1500</v>
      </c>
    </row>
    <row r="17" customFormat="false" ht="15" hidden="false" customHeight="false" outlineLevel="0" collapsed="false">
      <c r="A17" s="4" t="s">
        <v>8</v>
      </c>
      <c r="B17" s="5" t="n">
        <v>0</v>
      </c>
      <c r="C17" s="5" t="n">
        <v>2000</v>
      </c>
      <c r="D17" s="5" t="n">
        <v>0</v>
      </c>
      <c r="E17" s="5" t="n">
        <v>0</v>
      </c>
      <c r="F17" s="18" t="n">
        <f aca="false">SUM(B17:E17)</f>
        <v>2000</v>
      </c>
      <c r="G17" s="19" t="n">
        <f aca="false">G16+F17</f>
        <v>3500</v>
      </c>
    </row>
    <row r="18" customFormat="false" ht="15" hidden="false" customHeight="false" outlineLevel="0" collapsed="false">
      <c r="A18" s="4" t="s">
        <v>9</v>
      </c>
      <c r="B18" s="5" t="n">
        <v>2500</v>
      </c>
      <c r="C18" s="5" t="n">
        <v>2000</v>
      </c>
      <c r="D18" s="5" t="n">
        <v>0</v>
      </c>
      <c r="E18" s="5" t="n">
        <v>0</v>
      </c>
      <c r="F18" s="18" t="n">
        <f aca="false">SUM(B18:E18)</f>
        <v>4500</v>
      </c>
      <c r="G18" s="19" t="n">
        <f aca="false">G17+F18</f>
        <v>8000</v>
      </c>
    </row>
    <row r="19" customFormat="false" ht="15" hidden="false" customHeight="false" outlineLevel="0" collapsed="false">
      <c r="A19" s="4" t="s">
        <v>10</v>
      </c>
      <c r="B19" s="5" t="n">
        <v>2500</v>
      </c>
      <c r="C19" s="5" t="n">
        <v>3500</v>
      </c>
      <c r="D19" s="5" t="n">
        <v>1500</v>
      </c>
      <c r="E19" s="5" t="n">
        <v>0</v>
      </c>
      <c r="F19" s="18" t="n">
        <f aca="false">SUM(B19:E19)</f>
        <v>7500</v>
      </c>
      <c r="G19" s="19" t="n">
        <f aca="false">G18+F19</f>
        <v>15500</v>
      </c>
    </row>
    <row r="20" customFormat="false" ht="15" hidden="false" customHeight="false" outlineLevel="0" collapsed="false">
      <c r="A20" s="4" t="s">
        <v>11</v>
      </c>
      <c r="B20" s="5" t="n">
        <v>3500</v>
      </c>
      <c r="C20" s="5" t="n">
        <v>3500</v>
      </c>
      <c r="D20" s="5" t="n">
        <v>2500</v>
      </c>
      <c r="E20" s="5" t="n">
        <v>1000</v>
      </c>
      <c r="F20" s="18" t="n">
        <f aca="false">SUM(B20:E20)</f>
        <v>10500</v>
      </c>
      <c r="G20" s="19" t="n">
        <f aca="false">G19+F20</f>
        <v>26000</v>
      </c>
    </row>
    <row r="21" customFormat="false" ht="15" hidden="false" customHeight="false" outlineLevel="0" collapsed="false">
      <c r="A21" s="4" t="s">
        <v>12</v>
      </c>
      <c r="B21" s="5" t="n">
        <v>3500</v>
      </c>
      <c r="C21" s="5" t="n">
        <v>5000</v>
      </c>
      <c r="D21" s="5" t="n">
        <v>3500</v>
      </c>
      <c r="E21" s="5" t="n">
        <v>1500</v>
      </c>
      <c r="F21" s="18" t="n">
        <f aca="false">SUM(B21:E21)</f>
        <v>13500</v>
      </c>
      <c r="G21" s="19" t="n">
        <f aca="false">G20+F21</f>
        <v>39500</v>
      </c>
    </row>
    <row r="22" customFormat="false" ht="15" hidden="false" customHeight="false" outlineLevel="0" collapsed="false">
      <c r="A22" s="20" t="s">
        <v>65</v>
      </c>
      <c r="B22" s="21" t="n">
        <f aca="false">SUM(B16:B21)</f>
        <v>12000</v>
      </c>
      <c r="C22" s="21" t="n">
        <f aca="false">SUM(C16:C21)</f>
        <v>17500</v>
      </c>
      <c r="D22" s="21" t="n">
        <f aca="false">SUM(D16:D21)</f>
        <v>7500</v>
      </c>
      <c r="E22" s="21" t="n">
        <f aca="false">SUM(E16:E21)</f>
        <v>2500</v>
      </c>
      <c r="F22" s="21" t="n">
        <f aca="false">SUM(F16:F21)</f>
        <v>39500</v>
      </c>
      <c r="G22" s="21" t="n">
        <f aca="false">G21</f>
        <v>39500</v>
      </c>
    </row>
    <row r="24" customFormat="false" ht="15" hidden="false" customHeight="false" outlineLevel="0" collapsed="false">
      <c r="A24" s="7" t="s">
        <v>66</v>
      </c>
      <c r="B24" s="15" t="n">
        <v>600</v>
      </c>
    </row>
    <row r="25" customFormat="false" ht="15" hidden="false" customHeight="false" outlineLevel="0" collapsed="false">
      <c r="A25" s="7" t="s">
        <v>67</v>
      </c>
      <c r="B25" s="18" t="n">
        <f aca="false">F22</f>
        <v>39500</v>
      </c>
    </row>
    <row r="26" customFormat="false" ht="15" hidden="false" customHeight="false" outlineLevel="0" collapsed="false">
      <c r="A26" s="20" t="s">
        <v>68</v>
      </c>
      <c r="B26" s="22" t="n">
        <f aca="false">(B25-B24)/B24</f>
        <v>64.8333333333333</v>
      </c>
    </row>
    <row r="27" customFormat="false" ht="15" hidden="false" customHeight="false" outlineLevel="0" collapsed="false">
      <c r="A27" s="7" t="s">
        <v>69</v>
      </c>
      <c r="B27" s="23" t="s">
        <v>70</v>
      </c>
    </row>
  </sheetData>
  <mergeCells count="3">
    <mergeCell ref="A1:G1"/>
    <mergeCell ref="A3:G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3" t="s">
        <v>71</v>
      </c>
      <c r="B1" s="13"/>
      <c r="C1" s="13"/>
      <c r="D1" s="13"/>
      <c r="E1" s="13"/>
      <c r="F1" s="13"/>
      <c r="G1" s="13"/>
      <c r="H1" s="13"/>
      <c r="I1" s="13"/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  <c r="I3" s="3" t="s">
        <v>78</v>
      </c>
    </row>
    <row r="4" customFormat="false" ht="23.85" hidden="false" customHeight="false" outlineLevel="0" collapsed="false">
      <c r="A4" s="4" t="s">
        <v>59</v>
      </c>
      <c r="B4" s="5" t="n">
        <v>100</v>
      </c>
      <c r="C4" s="6" t="s">
        <v>15</v>
      </c>
      <c r="D4" s="7" t="s">
        <v>79</v>
      </c>
      <c r="E4" s="24" t="s">
        <v>80</v>
      </c>
      <c r="F4" s="24" t="s">
        <v>81</v>
      </c>
      <c r="G4" s="24" t="s">
        <v>82</v>
      </c>
      <c r="H4" s="15" t="n">
        <v>3000</v>
      </c>
      <c r="I4" s="23" t="s">
        <v>83</v>
      </c>
    </row>
    <row r="5" customFormat="false" ht="23.85" hidden="false" customHeight="false" outlineLevel="0" collapsed="false">
      <c r="A5" s="4" t="s">
        <v>18</v>
      </c>
      <c r="B5" s="5" t="n">
        <v>0</v>
      </c>
      <c r="C5" s="6" t="s">
        <v>19</v>
      </c>
      <c r="D5" s="7" t="s">
        <v>84</v>
      </c>
      <c r="E5" s="24" t="s">
        <v>85</v>
      </c>
      <c r="F5" s="24" t="s">
        <v>86</v>
      </c>
      <c r="G5" s="24" t="s">
        <v>87</v>
      </c>
      <c r="H5" s="15" t="n">
        <v>2000</v>
      </c>
      <c r="I5" s="23" t="s">
        <v>88</v>
      </c>
    </row>
    <row r="6" customFormat="false" ht="23.85" hidden="false" customHeight="false" outlineLevel="0" collapsed="false">
      <c r="A6" s="4" t="s">
        <v>22</v>
      </c>
      <c r="B6" s="5" t="n">
        <v>0</v>
      </c>
      <c r="C6" s="6" t="s">
        <v>23</v>
      </c>
      <c r="D6" s="7" t="s">
        <v>89</v>
      </c>
      <c r="E6" s="24" t="s">
        <v>87</v>
      </c>
      <c r="F6" s="24" t="s">
        <v>90</v>
      </c>
      <c r="G6" s="24" t="s">
        <v>91</v>
      </c>
      <c r="H6" s="15" t="n">
        <v>5000</v>
      </c>
      <c r="I6" s="23" t="s">
        <v>92</v>
      </c>
    </row>
    <row r="7" customFormat="false" ht="23.85" hidden="false" customHeight="false" outlineLevel="0" collapsed="false">
      <c r="A7" s="4" t="s">
        <v>26</v>
      </c>
      <c r="B7" s="5" t="n">
        <v>0</v>
      </c>
      <c r="C7" s="6" t="s">
        <v>93</v>
      </c>
      <c r="D7" s="7" t="s">
        <v>94</v>
      </c>
      <c r="E7" s="24" t="s">
        <v>95</v>
      </c>
      <c r="F7" s="24" t="s">
        <v>96</v>
      </c>
      <c r="G7" s="24" t="s">
        <v>97</v>
      </c>
      <c r="H7" s="15" t="n">
        <v>3000</v>
      </c>
      <c r="I7" s="23" t="s">
        <v>98</v>
      </c>
    </row>
    <row r="8" customFormat="false" ht="23.85" hidden="false" customHeight="false" outlineLevel="0" collapsed="false">
      <c r="A8" s="4" t="s">
        <v>99</v>
      </c>
      <c r="B8" s="5" t="n">
        <v>0</v>
      </c>
      <c r="C8" s="6" t="s">
        <v>93</v>
      </c>
      <c r="D8" s="7" t="s">
        <v>100</v>
      </c>
      <c r="E8" s="24" t="s">
        <v>95</v>
      </c>
      <c r="F8" s="24" t="s">
        <v>90</v>
      </c>
      <c r="G8" s="24" t="s">
        <v>101</v>
      </c>
      <c r="H8" s="15" t="n">
        <v>4000</v>
      </c>
      <c r="I8" s="23" t="s">
        <v>102</v>
      </c>
    </row>
    <row r="9" customFormat="false" ht="23.85" hidden="false" customHeight="false" outlineLevel="0" collapsed="false">
      <c r="A9" s="4" t="s">
        <v>103</v>
      </c>
      <c r="B9" s="5" t="n">
        <v>0</v>
      </c>
      <c r="C9" s="6" t="s">
        <v>15</v>
      </c>
      <c r="D9" s="7" t="s">
        <v>104</v>
      </c>
      <c r="E9" s="24" t="s">
        <v>105</v>
      </c>
      <c r="F9" s="24" t="s">
        <v>106</v>
      </c>
      <c r="G9" s="24" t="s">
        <v>101</v>
      </c>
      <c r="H9" s="15" t="n">
        <v>3500</v>
      </c>
      <c r="I9" s="23" t="s">
        <v>107</v>
      </c>
    </row>
    <row r="11" customFormat="false" ht="15" hidden="false" customHeight="false" outlineLevel="0" collapsed="false">
      <c r="A11" s="25" t="s">
        <v>108</v>
      </c>
      <c r="B11" s="25"/>
      <c r="C11" s="25"/>
      <c r="D11" s="25"/>
      <c r="E11" s="25"/>
      <c r="F11" s="25"/>
      <c r="G11" s="25"/>
      <c r="H11" s="25"/>
      <c r="I11" s="25"/>
    </row>
  </sheetData>
  <mergeCells count="2">
    <mergeCell ref="A1:I1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35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3" t="s">
        <v>109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3" t="s">
        <v>110</v>
      </c>
      <c r="B3" s="3" t="s">
        <v>2</v>
      </c>
      <c r="C3" s="3" t="s">
        <v>111</v>
      </c>
      <c r="D3" s="3" t="s">
        <v>112</v>
      </c>
      <c r="E3" s="3" t="s">
        <v>113</v>
      </c>
      <c r="F3" s="3" t="s">
        <v>114</v>
      </c>
    </row>
    <row r="4" customFormat="false" ht="75" hidden="false" customHeight="true" outlineLevel="0" collapsed="false">
      <c r="A4" s="23" t="s">
        <v>115</v>
      </c>
      <c r="B4" s="26" t="s">
        <v>116</v>
      </c>
      <c r="C4" s="7" t="s">
        <v>117</v>
      </c>
      <c r="D4" s="7" t="s">
        <v>118</v>
      </c>
      <c r="E4" s="6" t="s">
        <v>119</v>
      </c>
      <c r="F4" s="6" t="s">
        <v>120</v>
      </c>
    </row>
    <row r="5" customFormat="false" ht="75" hidden="false" customHeight="true" outlineLevel="0" collapsed="false">
      <c r="A5" s="23" t="s">
        <v>121</v>
      </c>
      <c r="B5" s="26" t="s">
        <v>122</v>
      </c>
      <c r="C5" s="7" t="s">
        <v>123</v>
      </c>
      <c r="D5" s="7" t="s">
        <v>124</v>
      </c>
      <c r="E5" s="6" t="s">
        <v>125</v>
      </c>
      <c r="F5" s="6" t="s">
        <v>126</v>
      </c>
    </row>
    <row r="6" customFormat="false" ht="75" hidden="false" customHeight="true" outlineLevel="0" collapsed="false">
      <c r="A6" s="23" t="s">
        <v>127</v>
      </c>
      <c r="B6" s="26" t="s">
        <v>128</v>
      </c>
      <c r="C6" s="7" t="s">
        <v>129</v>
      </c>
      <c r="D6" s="7" t="s">
        <v>130</v>
      </c>
      <c r="E6" s="6" t="s">
        <v>125</v>
      </c>
      <c r="F6" s="6" t="s">
        <v>126</v>
      </c>
    </row>
    <row r="7" customFormat="false" ht="75" hidden="false" customHeight="true" outlineLevel="0" collapsed="false">
      <c r="A7" s="23" t="s">
        <v>131</v>
      </c>
      <c r="B7" s="26" t="s">
        <v>132</v>
      </c>
      <c r="C7" s="7" t="s">
        <v>133</v>
      </c>
      <c r="D7" s="7" t="s">
        <v>134</v>
      </c>
      <c r="E7" s="6" t="s">
        <v>135</v>
      </c>
      <c r="F7" s="6" t="s">
        <v>136</v>
      </c>
    </row>
    <row r="8" customFormat="false" ht="75" hidden="false" customHeight="true" outlineLevel="0" collapsed="false">
      <c r="A8" s="23" t="s">
        <v>8</v>
      </c>
      <c r="B8" s="26" t="s">
        <v>137</v>
      </c>
      <c r="C8" s="7" t="s">
        <v>138</v>
      </c>
      <c r="D8" s="7" t="s">
        <v>139</v>
      </c>
      <c r="E8" s="6" t="s">
        <v>140</v>
      </c>
      <c r="F8" s="6" t="s">
        <v>141</v>
      </c>
    </row>
    <row r="9" customFormat="false" ht="75" hidden="false" customHeight="true" outlineLevel="0" collapsed="false">
      <c r="A9" s="23" t="s">
        <v>9</v>
      </c>
      <c r="B9" s="26" t="s">
        <v>142</v>
      </c>
      <c r="C9" s="7" t="s">
        <v>143</v>
      </c>
      <c r="D9" s="7" t="s">
        <v>144</v>
      </c>
      <c r="E9" s="6" t="s">
        <v>140</v>
      </c>
      <c r="F9" s="6" t="s">
        <v>141</v>
      </c>
    </row>
    <row r="10" customFormat="false" ht="75" hidden="false" customHeight="true" outlineLevel="0" collapsed="false">
      <c r="A10" s="23" t="s">
        <v>10</v>
      </c>
      <c r="B10" s="26" t="s">
        <v>145</v>
      </c>
      <c r="C10" s="7" t="s">
        <v>146</v>
      </c>
      <c r="D10" s="7" t="s">
        <v>147</v>
      </c>
      <c r="E10" s="6" t="s">
        <v>140</v>
      </c>
      <c r="F10" s="6" t="s">
        <v>148</v>
      </c>
    </row>
    <row r="11" customFormat="false" ht="75" hidden="false" customHeight="true" outlineLevel="0" collapsed="false">
      <c r="A11" s="23" t="s">
        <v>11</v>
      </c>
      <c r="B11" s="26" t="s">
        <v>149</v>
      </c>
      <c r="C11" s="7" t="s">
        <v>150</v>
      </c>
      <c r="D11" s="7" t="s">
        <v>151</v>
      </c>
      <c r="E11" s="6" t="s">
        <v>140</v>
      </c>
      <c r="F11" s="6" t="s">
        <v>148</v>
      </c>
    </row>
    <row r="12" customFormat="false" ht="75" hidden="false" customHeight="true" outlineLevel="0" collapsed="false">
      <c r="A12" s="23" t="s">
        <v>12</v>
      </c>
      <c r="B12" s="26" t="s">
        <v>152</v>
      </c>
      <c r="C12" s="7" t="s">
        <v>153</v>
      </c>
      <c r="D12" s="7" t="s">
        <v>154</v>
      </c>
      <c r="E12" s="6" t="s">
        <v>140</v>
      </c>
      <c r="F12" s="6" t="s">
        <v>155</v>
      </c>
    </row>
    <row r="13" customFormat="false" ht="23.85" hidden="false" customHeight="false" outlineLevel="0" collapsed="false">
      <c r="A13" s="27" t="s">
        <v>36</v>
      </c>
      <c r="E13" s="27" t="s">
        <v>156</v>
      </c>
      <c r="F13" s="27" t="s">
        <v>157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2026-04-03T08:10:43Z</dcterms:created>
  <dc:creator>openpyxl</dc:creator>
  <dc:description/>
  <dc:language>en-US</dc:language>
  <cp:lastModifiedBy/>
  <dcterms:modified xsi:type="dcterms:W3CDTF">2026-04-03T08:10:43Z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